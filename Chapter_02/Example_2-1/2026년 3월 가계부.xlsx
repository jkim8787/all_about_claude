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년 3월 가계부" sheetId="1" state="visible" r:id="rId3"/>
    <sheet name="분류별 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<sst xmlns="http://schemas.openxmlformats.org/spreadsheetml/2006/main" count="245" uniqueCount="106">
  <si>
    <r>
      <rPr>
        <b val="true"/>
        <sz val="14"/>
        <color rgb="FF1F3864"/>
        <rFont val="맑은 고딕"/>
        <family val="0"/>
        <charset val="1"/>
      </rPr>
      <t xml:space="preserve">2026</t>
    </r>
    <r>
      <rPr>
        <b val="true"/>
        <sz val="14"/>
        <color rgb="FF1F3864"/>
        <rFont val="Noto Sans CJK SC"/>
        <family val="2"/>
      </rPr>
      <t xml:space="preserve">년 </t>
    </r>
    <r>
      <rPr>
        <b val="true"/>
        <sz val="14"/>
        <color rgb="FF1F3864"/>
        <rFont val="맑은 고딕"/>
        <family val="0"/>
        <charset val="1"/>
      </rPr>
      <t xml:space="preserve">3</t>
    </r>
    <r>
      <rPr>
        <b val="true"/>
        <sz val="14"/>
        <color rgb="FF1F3864"/>
        <rFont val="Noto Sans CJK SC"/>
        <family val="2"/>
      </rPr>
      <t xml:space="preserve">월 가계부</t>
    </r>
  </si>
  <si>
    <t xml:space="preserve">날짜</t>
  </si>
  <si>
    <t xml:space="preserve">분류</t>
  </si>
  <si>
    <t xml:space="preserve">항목</t>
  </si>
  <si>
    <t xml:space="preserve">금액</t>
  </si>
  <si>
    <t xml:space="preserve">결제수단</t>
  </si>
  <si>
    <t xml:space="preserve">메모</t>
  </si>
  <si>
    <t xml:space="preserve">3/01</t>
  </si>
  <si>
    <t xml:space="preserve">식비</t>
  </si>
  <si>
    <t xml:space="preserve">마트 장보기</t>
  </si>
  <si>
    <t xml:space="preserve">카드</t>
  </si>
  <si>
    <t xml:space="preserve">주간 장보기</t>
  </si>
  <si>
    <t xml:space="preserve">구독료</t>
  </si>
  <si>
    <t xml:space="preserve">넷플릭스</t>
  </si>
  <si>
    <t xml:space="preserve">월 구독</t>
  </si>
  <si>
    <t xml:space="preserve">3/02</t>
  </si>
  <si>
    <t xml:space="preserve">카페</t>
  </si>
  <si>
    <t xml:space="preserve">스타벅스</t>
  </si>
  <si>
    <r>
      <rPr>
        <sz val="10"/>
        <rFont val="Noto Sans CJK SC"/>
        <family val="2"/>
      </rPr>
      <t xml:space="preserve">아메리카노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잔</t>
    </r>
  </si>
  <si>
    <t xml:space="preserve">3/03</t>
  </si>
  <si>
    <r>
      <rPr>
        <sz val="10"/>
        <rFont val="Noto Sans CJK SC"/>
        <family val="2"/>
      </rPr>
      <t xml:space="preserve">배달의민족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치킨</t>
    </r>
  </si>
  <si>
    <t xml:space="preserve">3/04</t>
  </si>
  <si>
    <t xml:space="preserve">교통</t>
  </si>
  <si>
    <r>
      <rPr>
        <sz val="10"/>
        <rFont val="Noto Sans CJK SC"/>
        <family val="2"/>
      </rPr>
      <t xml:space="preserve">지하철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버스</t>
    </r>
  </si>
  <si>
    <t xml:space="preserve">교통카드</t>
  </si>
  <si>
    <t xml:space="preserve">문화</t>
  </si>
  <si>
    <r>
      <rPr>
        <sz val="10"/>
        <rFont val="Noto Sans CJK SC"/>
        <family val="2"/>
      </rPr>
      <t xml:space="preserve">교보문고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도서</t>
    </r>
  </si>
  <si>
    <r>
      <rPr>
        <sz val="10"/>
        <rFont val="Noto Sans CJK SC"/>
        <family val="2"/>
      </rPr>
      <t xml:space="preserve">자기계발서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권</t>
    </r>
  </si>
  <si>
    <t xml:space="preserve">3/05</t>
  </si>
  <si>
    <t xml:space="preserve">투썸플레이스</t>
  </si>
  <si>
    <t xml:space="preserve">3/06</t>
  </si>
  <si>
    <t xml:space="preserve">유튜브 프리미엄</t>
  </si>
  <si>
    <r>
      <rPr>
        <sz val="10"/>
        <rFont val="Noto Sans CJK SC"/>
        <family val="2"/>
      </rPr>
      <t xml:space="preserve">배달의민족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피자</t>
    </r>
  </si>
  <si>
    <t xml:space="preserve">3/07</t>
  </si>
  <si>
    <t xml:space="preserve">쇼핑</t>
  </si>
  <si>
    <t xml:space="preserve">쿠팡 생활용품</t>
  </si>
  <si>
    <t xml:space="preserve">3/08</t>
  </si>
  <si>
    <r>
      <rPr>
        <sz val="10"/>
        <rFont val="Noto Sans CJK SC"/>
        <family val="2"/>
      </rPr>
      <t xml:space="preserve">음료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잔</t>
    </r>
  </si>
  <si>
    <t xml:space="preserve">3/09</t>
  </si>
  <si>
    <t xml:space="preserve">멜론 음악 스트리밍</t>
  </si>
  <si>
    <t xml:space="preserve">3/10</t>
  </si>
  <si>
    <r>
      <rPr>
        <sz val="10"/>
        <rFont val="Noto Sans CJK SC"/>
        <family val="2"/>
      </rPr>
      <t xml:space="preserve">배달의민족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중식</t>
    </r>
  </si>
  <si>
    <t xml:space="preserve">3/11</t>
  </si>
  <si>
    <t xml:space="preserve">스포티파이</t>
  </si>
  <si>
    <t xml:space="preserve">할리스</t>
  </si>
  <si>
    <r>
      <rPr>
        <sz val="10"/>
        <rFont val="Noto Sans CJK SC"/>
        <family val="2"/>
      </rPr>
      <t xml:space="preserve">무신사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의류</t>
    </r>
  </si>
  <si>
    <t xml:space="preserve">봄 옷</t>
  </si>
  <si>
    <t xml:space="preserve">3/12</t>
  </si>
  <si>
    <t xml:space="preserve">3/13</t>
  </si>
  <si>
    <r>
      <rPr>
        <sz val="10"/>
        <rFont val="Noto Sans CJK SC"/>
        <family val="2"/>
      </rPr>
      <t xml:space="preserve">배달의민족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족발</t>
    </r>
  </si>
  <si>
    <t xml:space="preserve">3/14</t>
  </si>
  <si>
    <t xml:space="preserve">의료</t>
  </si>
  <si>
    <t xml:space="preserve">내과 진료</t>
  </si>
  <si>
    <t xml:space="preserve">현금</t>
  </si>
  <si>
    <t xml:space="preserve">감기</t>
  </si>
  <si>
    <t xml:space="preserve">편의점 식사</t>
  </si>
  <si>
    <t xml:space="preserve">야근 저녁</t>
  </si>
  <si>
    <t xml:space="preserve">3/15</t>
  </si>
  <si>
    <r>
      <rPr>
        <sz val="10"/>
        <rFont val="맑은 고딕"/>
        <family val="0"/>
        <charset val="1"/>
      </rPr>
      <t xml:space="preserve">CGV </t>
    </r>
    <r>
      <rPr>
        <sz val="10"/>
        <rFont val="Noto Sans CJK SC"/>
        <family val="2"/>
      </rPr>
      <t xml:space="preserve">영화 관람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</si>
  <si>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관람</t>
    </r>
  </si>
  <si>
    <t xml:space="preserve">3/16</t>
  </si>
  <si>
    <t xml:space="preserve">왓챠</t>
  </si>
  <si>
    <r>
      <rPr>
        <sz val="10"/>
        <rFont val="Noto Sans CJK SC"/>
        <family val="2"/>
      </rPr>
      <t xml:space="preserve">월 구독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넷플릭스와 중복</t>
    </r>
    <r>
      <rPr>
        <sz val="10"/>
        <rFont val="맑은 고딕"/>
        <family val="0"/>
        <charset val="1"/>
      </rPr>
      <t xml:space="preserve">)</t>
    </r>
  </si>
  <si>
    <t xml:space="preserve">3/17</t>
  </si>
  <si>
    <r>
      <rPr>
        <sz val="10"/>
        <rFont val="Noto Sans CJK SC"/>
        <family val="2"/>
      </rPr>
      <t xml:space="preserve">배달의민족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버거</t>
    </r>
  </si>
  <si>
    <t xml:space="preserve">3/18</t>
  </si>
  <si>
    <t xml:space="preserve">이디야</t>
  </si>
  <si>
    <t xml:space="preserve">3/19</t>
  </si>
  <si>
    <t xml:space="preserve">택시</t>
  </si>
  <si>
    <t xml:space="preserve">야근 귀가</t>
  </si>
  <si>
    <t xml:space="preserve">3/20</t>
  </si>
  <si>
    <t xml:space="preserve">올리브영 화장품</t>
  </si>
  <si>
    <t xml:space="preserve">점심</t>
  </si>
  <si>
    <t xml:space="preserve">3/21</t>
  </si>
  <si>
    <t xml:space="preserve">3/22</t>
  </si>
  <si>
    <r>
      <rPr>
        <sz val="10"/>
        <rFont val="Noto Sans CJK SC"/>
        <family val="2"/>
      </rPr>
      <t xml:space="preserve">배달의민족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샐러드</t>
    </r>
  </si>
  <si>
    <r>
      <rPr>
        <sz val="10"/>
        <rFont val="맑은 고딕"/>
        <family val="0"/>
        <charset val="1"/>
      </rPr>
      <t xml:space="preserve">KTX </t>
    </r>
    <r>
      <rPr>
        <sz val="10"/>
        <rFont val="Noto Sans CJK SC"/>
        <family val="2"/>
      </rPr>
      <t xml:space="preserve">왕복</t>
    </r>
  </si>
  <si>
    <t xml:space="preserve">부산 출장</t>
  </si>
  <si>
    <t xml:space="preserve">3/23</t>
  </si>
  <si>
    <r>
      <rPr>
        <sz val="10"/>
        <rFont val="Noto Sans CJK SC"/>
        <family val="2"/>
      </rPr>
      <t xml:space="preserve">클로드 </t>
    </r>
    <r>
      <rPr>
        <sz val="10"/>
        <rFont val="맑은 고딕"/>
        <family val="0"/>
        <charset val="1"/>
      </rPr>
      <t xml:space="preserve">Pro</t>
    </r>
  </si>
  <si>
    <t xml:space="preserve">3/24</t>
  </si>
  <si>
    <t xml:space="preserve">블루보틀</t>
  </si>
  <si>
    <t xml:space="preserve">3/25</t>
  </si>
  <si>
    <r>
      <rPr>
        <sz val="10"/>
        <rFont val="Noto Sans CJK SC"/>
        <family val="2"/>
      </rPr>
      <t xml:space="preserve">배달의민족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곱창</t>
    </r>
  </si>
  <si>
    <t xml:space="preserve">3/26</t>
  </si>
  <si>
    <t xml:space="preserve">3/27</t>
  </si>
  <si>
    <r>
      <rPr>
        <sz val="10"/>
        <rFont val="Noto Sans CJK SC"/>
        <family val="2"/>
      </rPr>
      <t xml:space="preserve">아마존 직구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도서</t>
    </r>
  </si>
  <si>
    <r>
      <rPr>
        <sz val="10"/>
        <rFont val="Noto Sans CJK SC"/>
        <family val="2"/>
      </rPr>
      <t xml:space="preserve">원서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권</t>
    </r>
  </si>
  <si>
    <t xml:space="preserve">3/28</t>
  </si>
  <si>
    <r>
      <rPr>
        <sz val="10"/>
        <rFont val="Noto Sans CJK SC"/>
        <family val="2"/>
      </rPr>
      <t xml:space="preserve">배달의민족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떡볶이</t>
    </r>
  </si>
  <si>
    <t xml:space="preserve">3/29</t>
  </si>
  <si>
    <t xml:space="preserve">커피빈</t>
  </si>
  <si>
    <t xml:space="preserve">비 오는 날</t>
  </si>
  <si>
    <t xml:space="preserve">3/30</t>
  </si>
  <si>
    <r>
      <rPr>
        <sz val="10"/>
        <rFont val="Noto Sans CJK SC"/>
        <family val="2"/>
      </rPr>
      <t xml:space="preserve">쿠팡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주방용품</t>
    </r>
  </si>
  <si>
    <t xml:space="preserve">약국</t>
  </si>
  <si>
    <t xml:space="preserve">감기약</t>
  </si>
  <si>
    <t xml:space="preserve">3/31</t>
  </si>
  <si>
    <t xml:space="preserve">월말 장보기</t>
  </si>
  <si>
    <t xml:space="preserve">합계</t>
  </si>
  <si>
    <r>
      <rPr>
        <b val="true"/>
        <sz val="13"/>
        <color rgb="FF1F3864"/>
        <rFont val="Noto Sans CJK SC"/>
        <family val="2"/>
      </rPr>
      <t xml:space="preserve">분류별 지출 요약 </t>
    </r>
    <r>
      <rPr>
        <b val="true"/>
        <sz val="13"/>
        <color rgb="FF1F3864"/>
        <rFont val="맑은 고딕"/>
        <family val="0"/>
        <charset val="1"/>
      </rPr>
      <t xml:space="preserve">(2026</t>
    </r>
    <r>
      <rPr>
        <b val="true"/>
        <sz val="13"/>
        <color rgb="FF1F3864"/>
        <rFont val="Noto Sans CJK SC"/>
        <family val="2"/>
      </rPr>
      <t xml:space="preserve">년 </t>
    </r>
    <r>
      <rPr>
        <b val="true"/>
        <sz val="13"/>
        <color rgb="FF1F3864"/>
        <rFont val="맑은 고딕"/>
        <family val="0"/>
        <charset val="1"/>
      </rPr>
      <t xml:space="preserve">3</t>
    </r>
    <r>
      <rPr>
        <b val="true"/>
        <sz val="13"/>
        <color rgb="FF1F3864"/>
        <rFont val="Noto Sans CJK SC"/>
        <family val="2"/>
      </rPr>
      <t xml:space="preserve">월</t>
    </r>
    <r>
      <rPr>
        <b val="true"/>
        <sz val="13"/>
        <color rgb="FF1F3864"/>
        <rFont val="맑은 고딕"/>
        <family val="0"/>
        <charset val="1"/>
      </rPr>
      <t xml:space="preserve">)</t>
    </r>
  </si>
  <si>
    <t xml:space="preserve">지출 금액</t>
  </si>
  <si>
    <t xml:space="preserve">비중</t>
  </si>
  <si>
    <r>
      <rPr>
        <sz val="10"/>
        <rFont val="Noto Sans CJK SC"/>
        <family val="2"/>
      </rPr>
      <t xml:space="preserve">식비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편의점</t>
    </r>
    <r>
      <rPr>
        <sz val="10"/>
        <rFont val="맑은 고딕"/>
        <family val="0"/>
        <charset val="1"/>
      </rPr>
      <t xml:space="preserve">)</t>
    </r>
  </si>
  <si>
    <t xml:space="preserve">배달 음식</t>
  </si>
  <si>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구독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</si>
</sst>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\원"/>
    <numFmt numFmtId="166" formatCode="0.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맑은 고딕"/>
      <family val="0"/>
      <charset val="1"/>
    </font>
    <font>
      <b val="true"/>
      <sz val="14"/>
      <color rgb="FF1F3864"/>
      <name val="Noto Sans CJK SC"/>
      <family val="2"/>
    </font>
    <font>
      <b val="true"/>
      <sz val="11"/>
      <color rgb="FFFFFFFF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3"/>
      <color rgb="FF1F3864"/>
      <name val="Noto Sans CJK SC"/>
      <family val="2"/>
    </font>
    <font>
      <b val="true"/>
      <sz val="13"/>
      <color rgb="FF1F3864"/>
      <name val="맑은 고딕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5FA3"/>
        <bgColor rgb="FF3366FF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BE5D6"/>
      </patternFill>
    </fill>
    <fill>
      <patternFill patternType="solid">
        <fgColor rgb="FFF2F2F2"/>
        <bgColor rgb="FFEBF3FB"/>
      </patternFill>
    </fill>
    <fill>
      <patternFill patternType="solid">
        <fgColor rgb="FFF0E6FF"/>
        <bgColor rgb="FFF2F2F2"/>
      </patternFill>
    </fill>
    <fill>
      <patternFill patternType="solid">
        <fgColor rgb="FFFBE5D6"/>
        <bgColor rgb="FFFFF2CC"/>
      </patternFill>
    </fill>
    <fill>
      <patternFill patternType="solid">
        <fgColor rgb="FFDDEBF7"/>
        <bgColor rgb="FFEBF3FB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2E5FA3"/>
      <rgbColor rgb="FFF0E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2F2F2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8" hidden="false" customHeight="true" outlineLevel="0" collapsed="false">
      <c r="A4" s="3" t="s">
        <v>7</v>
      </c>
      <c r="B4" s="4" t="s">
        <v>8</v>
      </c>
      <c r="C4" s="5" t="s">
        <v>9</v>
      </c>
      <c r="D4" s="6" t="n">
        <v>92000</v>
      </c>
      <c r="E4" s="4" t="s">
        <v>10</v>
      </c>
      <c r="F4" s="5" t="s">
        <v>11</v>
      </c>
    </row>
    <row r="5" customFormat="false" ht="18" hidden="false" customHeight="true" outlineLevel="0" collapsed="false">
      <c r="A5" s="7" t="s">
        <v>7</v>
      </c>
      <c r="B5" s="8" t="s">
        <v>12</v>
      </c>
      <c r="C5" s="9" t="s">
        <v>13</v>
      </c>
      <c r="D5" s="10" t="n">
        <v>17000</v>
      </c>
      <c r="E5" s="8" t="s">
        <v>10</v>
      </c>
      <c r="F5" s="9" t="s">
        <v>14</v>
      </c>
    </row>
    <row r="6" customFormat="false" ht="18" hidden="false" customHeight="true" outlineLevel="0" collapsed="false">
      <c r="A6" s="11" t="s">
        <v>15</v>
      </c>
      <c r="B6" s="12" t="s">
        <v>16</v>
      </c>
      <c r="C6" s="13" t="s">
        <v>17</v>
      </c>
      <c r="D6" s="14" t="n">
        <v>9000</v>
      </c>
      <c r="E6" s="12" t="s">
        <v>10</v>
      </c>
      <c r="F6" s="13" t="s">
        <v>18</v>
      </c>
    </row>
    <row r="7" customFormat="false" ht="18" hidden="false" customHeight="true" outlineLevel="0" collapsed="false">
      <c r="A7" s="3" t="s">
        <v>19</v>
      </c>
      <c r="B7" s="4" t="s">
        <v>8</v>
      </c>
      <c r="C7" s="5" t="s">
        <v>20</v>
      </c>
      <c r="D7" s="6" t="n">
        <v>31000</v>
      </c>
      <c r="E7" s="4" t="s">
        <v>10</v>
      </c>
      <c r="F7" s="5"/>
    </row>
    <row r="8" customFormat="false" ht="18" hidden="false" customHeight="true" outlineLevel="0" collapsed="false">
      <c r="A8" s="15" t="s">
        <v>21</v>
      </c>
      <c r="B8" s="16" t="s">
        <v>22</v>
      </c>
      <c r="C8" s="17" t="s">
        <v>23</v>
      </c>
      <c r="D8" s="18" t="n">
        <v>4200</v>
      </c>
      <c r="E8" s="16" t="s">
        <v>24</v>
      </c>
      <c r="F8" s="17"/>
    </row>
    <row r="9" customFormat="false" ht="18" hidden="false" customHeight="true" outlineLevel="0" collapsed="false">
      <c r="A9" s="19" t="s">
        <v>21</v>
      </c>
      <c r="B9" s="20" t="s">
        <v>25</v>
      </c>
      <c r="C9" s="21" t="s">
        <v>26</v>
      </c>
      <c r="D9" s="22" t="n">
        <v>18500</v>
      </c>
      <c r="E9" s="20" t="s">
        <v>10</v>
      </c>
      <c r="F9" s="21" t="s">
        <v>27</v>
      </c>
    </row>
    <row r="10" customFormat="false" ht="18" hidden="false" customHeight="true" outlineLevel="0" collapsed="false">
      <c r="A10" s="11" t="s">
        <v>28</v>
      </c>
      <c r="B10" s="12" t="s">
        <v>16</v>
      </c>
      <c r="C10" s="13" t="s">
        <v>29</v>
      </c>
      <c r="D10" s="14" t="n">
        <v>8500</v>
      </c>
      <c r="E10" s="12" t="s">
        <v>10</v>
      </c>
      <c r="F10" s="13"/>
    </row>
    <row r="11" customFormat="false" ht="18" hidden="false" customHeight="true" outlineLevel="0" collapsed="false">
      <c r="A11" s="7" t="s">
        <v>30</v>
      </c>
      <c r="B11" s="8" t="s">
        <v>12</v>
      </c>
      <c r="C11" s="9" t="s">
        <v>31</v>
      </c>
      <c r="D11" s="10" t="n">
        <v>14900</v>
      </c>
      <c r="E11" s="8" t="s">
        <v>10</v>
      </c>
      <c r="F11" s="9" t="s">
        <v>14</v>
      </c>
    </row>
    <row r="12" customFormat="false" ht="18" hidden="false" customHeight="true" outlineLevel="0" collapsed="false">
      <c r="A12" s="3" t="s">
        <v>30</v>
      </c>
      <c r="B12" s="4" t="s">
        <v>8</v>
      </c>
      <c r="C12" s="5" t="s">
        <v>32</v>
      </c>
      <c r="D12" s="6" t="n">
        <v>34000</v>
      </c>
      <c r="E12" s="4" t="s">
        <v>10</v>
      </c>
      <c r="F12" s="5"/>
    </row>
    <row r="13" customFormat="false" ht="18" hidden="false" customHeight="true" outlineLevel="0" collapsed="false">
      <c r="A13" s="23" t="s">
        <v>33</v>
      </c>
      <c r="B13" s="24" t="s">
        <v>34</v>
      </c>
      <c r="C13" s="25" t="s">
        <v>35</v>
      </c>
      <c r="D13" s="26" t="n">
        <v>48000</v>
      </c>
      <c r="E13" s="24" t="s">
        <v>10</v>
      </c>
      <c r="F13" s="25"/>
    </row>
    <row r="14" customFormat="false" ht="18" hidden="false" customHeight="true" outlineLevel="0" collapsed="false">
      <c r="A14" s="11" t="s">
        <v>36</v>
      </c>
      <c r="B14" s="12" t="s">
        <v>16</v>
      </c>
      <c r="C14" s="13" t="s">
        <v>17</v>
      </c>
      <c r="D14" s="14" t="n">
        <v>9500</v>
      </c>
      <c r="E14" s="12" t="s">
        <v>10</v>
      </c>
      <c r="F14" s="13" t="s">
        <v>37</v>
      </c>
    </row>
    <row r="15" customFormat="false" ht="18" hidden="false" customHeight="true" outlineLevel="0" collapsed="false">
      <c r="A15" s="3" t="s">
        <v>38</v>
      </c>
      <c r="B15" s="4" t="s">
        <v>8</v>
      </c>
      <c r="C15" s="5" t="s">
        <v>9</v>
      </c>
      <c r="D15" s="6" t="n">
        <v>68000</v>
      </c>
      <c r="E15" s="4" t="s">
        <v>10</v>
      </c>
      <c r="F15" s="5"/>
    </row>
    <row r="16" customFormat="false" ht="18" hidden="false" customHeight="true" outlineLevel="0" collapsed="false">
      <c r="A16" s="19" t="s">
        <v>38</v>
      </c>
      <c r="B16" s="20" t="s">
        <v>25</v>
      </c>
      <c r="C16" s="21" t="s">
        <v>39</v>
      </c>
      <c r="D16" s="22" t="n">
        <v>10900</v>
      </c>
      <c r="E16" s="20" t="s">
        <v>10</v>
      </c>
      <c r="F16" s="21" t="s">
        <v>14</v>
      </c>
    </row>
    <row r="17" customFormat="false" ht="18" hidden="false" customHeight="true" outlineLevel="0" collapsed="false">
      <c r="A17" s="3" t="s">
        <v>40</v>
      </c>
      <c r="B17" s="4" t="s">
        <v>8</v>
      </c>
      <c r="C17" s="5" t="s">
        <v>41</v>
      </c>
      <c r="D17" s="6" t="n">
        <v>27500</v>
      </c>
      <c r="E17" s="4" t="s">
        <v>10</v>
      </c>
      <c r="F17" s="5"/>
    </row>
    <row r="18" customFormat="false" ht="18" hidden="false" customHeight="true" outlineLevel="0" collapsed="false">
      <c r="A18" s="7" t="s">
        <v>42</v>
      </c>
      <c r="B18" s="8" t="s">
        <v>12</v>
      </c>
      <c r="C18" s="9" t="s">
        <v>43</v>
      </c>
      <c r="D18" s="10" t="n">
        <v>10900</v>
      </c>
      <c r="E18" s="8" t="s">
        <v>10</v>
      </c>
      <c r="F18" s="9" t="s">
        <v>14</v>
      </c>
    </row>
    <row r="19" customFormat="false" ht="18" hidden="false" customHeight="true" outlineLevel="0" collapsed="false">
      <c r="A19" s="11" t="s">
        <v>42</v>
      </c>
      <c r="B19" s="12" t="s">
        <v>16</v>
      </c>
      <c r="C19" s="13" t="s">
        <v>44</v>
      </c>
      <c r="D19" s="14" t="n">
        <v>6500</v>
      </c>
      <c r="E19" s="12" t="s">
        <v>10</v>
      </c>
      <c r="F19" s="13"/>
    </row>
    <row r="20" customFormat="false" ht="18" hidden="false" customHeight="true" outlineLevel="0" collapsed="false">
      <c r="A20" s="23" t="s">
        <v>42</v>
      </c>
      <c r="B20" s="24" t="s">
        <v>34</v>
      </c>
      <c r="C20" s="25" t="s">
        <v>45</v>
      </c>
      <c r="D20" s="26" t="n">
        <v>89000</v>
      </c>
      <c r="E20" s="24" t="s">
        <v>10</v>
      </c>
      <c r="F20" s="25" t="s">
        <v>46</v>
      </c>
    </row>
    <row r="21" customFormat="false" ht="18" hidden="false" customHeight="true" outlineLevel="0" collapsed="false">
      <c r="A21" s="15" t="s">
        <v>47</v>
      </c>
      <c r="B21" s="16" t="s">
        <v>22</v>
      </c>
      <c r="C21" s="17" t="s">
        <v>23</v>
      </c>
      <c r="D21" s="18" t="n">
        <v>3800</v>
      </c>
      <c r="E21" s="16" t="s">
        <v>24</v>
      </c>
      <c r="F21" s="17"/>
    </row>
    <row r="22" customFormat="false" ht="18" hidden="false" customHeight="true" outlineLevel="0" collapsed="false">
      <c r="A22" s="3" t="s">
        <v>48</v>
      </c>
      <c r="B22" s="4" t="s">
        <v>8</v>
      </c>
      <c r="C22" s="5" t="s">
        <v>49</v>
      </c>
      <c r="D22" s="6" t="n">
        <v>41000</v>
      </c>
      <c r="E22" s="4" t="s">
        <v>10</v>
      </c>
      <c r="F22" s="5"/>
    </row>
    <row r="23" customFormat="false" ht="18" hidden="false" customHeight="true" outlineLevel="0" collapsed="false">
      <c r="A23" s="27" t="s">
        <v>50</v>
      </c>
      <c r="B23" s="28" t="s">
        <v>51</v>
      </c>
      <c r="C23" s="29" t="s">
        <v>52</v>
      </c>
      <c r="D23" s="30" t="n">
        <v>5000</v>
      </c>
      <c r="E23" s="28" t="s">
        <v>53</v>
      </c>
      <c r="F23" s="29" t="s">
        <v>54</v>
      </c>
    </row>
    <row r="24" customFormat="false" ht="18" hidden="false" customHeight="true" outlineLevel="0" collapsed="false">
      <c r="A24" s="3" t="s">
        <v>50</v>
      </c>
      <c r="B24" s="4" t="s">
        <v>8</v>
      </c>
      <c r="C24" s="5" t="s">
        <v>55</v>
      </c>
      <c r="D24" s="6" t="n">
        <v>8500</v>
      </c>
      <c r="E24" s="4" t="s">
        <v>10</v>
      </c>
      <c r="F24" s="5" t="s">
        <v>56</v>
      </c>
    </row>
    <row r="25" customFormat="false" ht="18" hidden="false" customHeight="true" outlineLevel="0" collapsed="false">
      <c r="A25" s="11" t="s">
        <v>57</v>
      </c>
      <c r="B25" s="12" t="s">
        <v>16</v>
      </c>
      <c r="C25" s="13" t="s">
        <v>17</v>
      </c>
      <c r="D25" s="14" t="n">
        <v>8500</v>
      </c>
      <c r="E25" s="12" t="s">
        <v>10</v>
      </c>
      <c r="F25" s="13"/>
    </row>
    <row r="26" customFormat="false" ht="18" hidden="false" customHeight="true" outlineLevel="0" collapsed="false">
      <c r="A26" s="3" t="s">
        <v>57</v>
      </c>
      <c r="B26" s="4" t="s">
        <v>8</v>
      </c>
      <c r="C26" s="5" t="s">
        <v>9</v>
      </c>
      <c r="D26" s="6" t="n">
        <v>75000</v>
      </c>
      <c r="E26" s="4" t="s">
        <v>10</v>
      </c>
      <c r="F26" s="5" t="s">
        <v>11</v>
      </c>
    </row>
    <row r="27" customFormat="false" ht="18" hidden="false" customHeight="true" outlineLevel="0" collapsed="false">
      <c r="A27" s="19" t="s">
        <v>57</v>
      </c>
      <c r="B27" s="20" t="s">
        <v>25</v>
      </c>
      <c r="C27" s="31" t="s">
        <v>58</v>
      </c>
      <c r="D27" s="22" t="n">
        <v>28000</v>
      </c>
      <c r="E27" s="20" t="s">
        <v>10</v>
      </c>
      <c r="F27" s="31" t="s">
        <v>59</v>
      </c>
    </row>
    <row r="28" customFormat="false" ht="18" hidden="false" customHeight="true" outlineLevel="0" collapsed="false">
      <c r="A28" s="7" t="s">
        <v>60</v>
      </c>
      <c r="B28" s="8" t="s">
        <v>12</v>
      </c>
      <c r="C28" s="9" t="s">
        <v>61</v>
      </c>
      <c r="D28" s="10" t="n">
        <v>12900</v>
      </c>
      <c r="E28" s="8" t="s">
        <v>10</v>
      </c>
      <c r="F28" s="9" t="s">
        <v>62</v>
      </c>
    </row>
    <row r="29" customFormat="false" ht="18" hidden="false" customHeight="true" outlineLevel="0" collapsed="false">
      <c r="A29" s="3" t="s">
        <v>63</v>
      </c>
      <c r="B29" s="4" t="s">
        <v>8</v>
      </c>
      <c r="C29" s="5" t="s">
        <v>64</v>
      </c>
      <c r="D29" s="6" t="n">
        <v>22000</v>
      </c>
      <c r="E29" s="4" t="s">
        <v>10</v>
      </c>
      <c r="F29" s="5"/>
    </row>
    <row r="30" customFormat="false" ht="18" hidden="false" customHeight="true" outlineLevel="0" collapsed="false">
      <c r="A30" s="11" t="s">
        <v>65</v>
      </c>
      <c r="B30" s="12" t="s">
        <v>16</v>
      </c>
      <c r="C30" s="13" t="s">
        <v>66</v>
      </c>
      <c r="D30" s="14" t="n">
        <v>5500</v>
      </c>
      <c r="E30" s="12" t="s">
        <v>10</v>
      </c>
      <c r="F30" s="13"/>
    </row>
    <row r="31" customFormat="false" ht="18" hidden="false" customHeight="true" outlineLevel="0" collapsed="false">
      <c r="A31" s="15" t="s">
        <v>67</v>
      </c>
      <c r="B31" s="16" t="s">
        <v>22</v>
      </c>
      <c r="C31" s="17" t="s">
        <v>68</v>
      </c>
      <c r="D31" s="18" t="n">
        <v>14500</v>
      </c>
      <c r="E31" s="16" t="s">
        <v>10</v>
      </c>
      <c r="F31" s="17" t="s">
        <v>69</v>
      </c>
    </row>
    <row r="32" customFormat="false" ht="18" hidden="false" customHeight="true" outlineLevel="0" collapsed="false">
      <c r="A32" s="23" t="s">
        <v>70</v>
      </c>
      <c r="B32" s="24" t="s">
        <v>34</v>
      </c>
      <c r="C32" s="25" t="s">
        <v>71</v>
      </c>
      <c r="D32" s="26" t="n">
        <v>58000</v>
      </c>
      <c r="E32" s="24" t="s">
        <v>10</v>
      </c>
      <c r="F32" s="25"/>
    </row>
    <row r="33" customFormat="false" ht="18" hidden="false" customHeight="true" outlineLevel="0" collapsed="false">
      <c r="A33" s="3" t="s">
        <v>70</v>
      </c>
      <c r="B33" s="4" t="s">
        <v>8</v>
      </c>
      <c r="C33" s="5" t="s">
        <v>55</v>
      </c>
      <c r="D33" s="6" t="n">
        <v>7200</v>
      </c>
      <c r="E33" s="4" t="s">
        <v>10</v>
      </c>
      <c r="F33" s="5" t="s">
        <v>72</v>
      </c>
    </row>
    <row r="34" customFormat="false" ht="18" hidden="false" customHeight="true" outlineLevel="0" collapsed="false">
      <c r="A34" s="11" t="s">
        <v>73</v>
      </c>
      <c r="B34" s="12" t="s">
        <v>16</v>
      </c>
      <c r="C34" s="13" t="s">
        <v>17</v>
      </c>
      <c r="D34" s="14" t="n">
        <v>9500</v>
      </c>
      <c r="E34" s="12" t="s">
        <v>10</v>
      </c>
      <c r="F34" s="13" t="s">
        <v>37</v>
      </c>
    </row>
    <row r="35" customFormat="false" ht="18" hidden="false" customHeight="true" outlineLevel="0" collapsed="false">
      <c r="A35" s="3" t="s">
        <v>74</v>
      </c>
      <c r="B35" s="4" t="s">
        <v>8</v>
      </c>
      <c r="C35" s="5" t="s">
        <v>75</v>
      </c>
      <c r="D35" s="6" t="n">
        <v>19500</v>
      </c>
      <c r="E35" s="4" t="s">
        <v>10</v>
      </c>
      <c r="F35" s="5"/>
    </row>
    <row r="36" customFormat="false" ht="18" hidden="false" customHeight="true" outlineLevel="0" collapsed="false">
      <c r="A36" s="15" t="s">
        <v>74</v>
      </c>
      <c r="B36" s="16" t="s">
        <v>22</v>
      </c>
      <c r="C36" s="32" t="s">
        <v>76</v>
      </c>
      <c r="D36" s="18" t="n">
        <v>98000</v>
      </c>
      <c r="E36" s="16" t="s">
        <v>10</v>
      </c>
      <c r="F36" s="17" t="s">
        <v>77</v>
      </c>
    </row>
    <row r="37" customFormat="false" ht="18" hidden="false" customHeight="true" outlineLevel="0" collapsed="false">
      <c r="A37" s="7" t="s">
        <v>78</v>
      </c>
      <c r="B37" s="8" t="s">
        <v>12</v>
      </c>
      <c r="C37" s="9" t="s">
        <v>79</v>
      </c>
      <c r="D37" s="10" t="n">
        <v>28000</v>
      </c>
      <c r="E37" s="8" t="s">
        <v>10</v>
      </c>
      <c r="F37" s="9" t="s">
        <v>14</v>
      </c>
    </row>
    <row r="38" customFormat="false" ht="18" hidden="false" customHeight="true" outlineLevel="0" collapsed="false">
      <c r="A38" s="3" t="s">
        <v>78</v>
      </c>
      <c r="B38" s="4" t="s">
        <v>8</v>
      </c>
      <c r="C38" s="5" t="s">
        <v>9</v>
      </c>
      <c r="D38" s="6" t="n">
        <v>61000</v>
      </c>
      <c r="E38" s="4" t="s">
        <v>10</v>
      </c>
      <c r="F38" s="5"/>
    </row>
    <row r="39" customFormat="false" ht="18" hidden="false" customHeight="true" outlineLevel="0" collapsed="false">
      <c r="A39" s="11" t="s">
        <v>80</v>
      </c>
      <c r="B39" s="12" t="s">
        <v>16</v>
      </c>
      <c r="C39" s="13" t="s">
        <v>81</v>
      </c>
      <c r="D39" s="14" t="n">
        <v>11500</v>
      </c>
      <c r="E39" s="12" t="s">
        <v>10</v>
      </c>
      <c r="F39" s="13"/>
    </row>
    <row r="40" customFormat="false" ht="18" hidden="false" customHeight="true" outlineLevel="0" collapsed="false">
      <c r="A40" s="3" t="s">
        <v>82</v>
      </c>
      <c r="B40" s="4" t="s">
        <v>8</v>
      </c>
      <c r="C40" s="5" t="s">
        <v>83</v>
      </c>
      <c r="D40" s="6" t="n">
        <v>44000</v>
      </c>
      <c r="E40" s="4" t="s">
        <v>10</v>
      </c>
      <c r="F40" s="5"/>
    </row>
    <row r="41" customFormat="false" ht="18" hidden="false" customHeight="true" outlineLevel="0" collapsed="false">
      <c r="A41" s="15" t="s">
        <v>84</v>
      </c>
      <c r="B41" s="16" t="s">
        <v>22</v>
      </c>
      <c r="C41" s="17" t="s">
        <v>23</v>
      </c>
      <c r="D41" s="18" t="n">
        <v>4500</v>
      </c>
      <c r="E41" s="16" t="s">
        <v>24</v>
      </c>
      <c r="F41" s="32"/>
    </row>
    <row r="42" customFormat="false" ht="18" hidden="false" customHeight="true" outlineLevel="0" collapsed="false">
      <c r="A42" s="3" t="s">
        <v>84</v>
      </c>
      <c r="B42" s="4" t="s">
        <v>8</v>
      </c>
      <c r="C42" s="5" t="s">
        <v>55</v>
      </c>
      <c r="D42" s="6" t="n">
        <v>9100</v>
      </c>
      <c r="E42" s="4" t="s">
        <v>10</v>
      </c>
      <c r="F42" s="5" t="s">
        <v>56</v>
      </c>
    </row>
    <row r="43" customFormat="false" ht="18" hidden="false" customHeight="true" outlineLevel="0" collapsed="false">
      <c r="A43" s="11" t="s">
        <v>85</v>
      </c>
      <c r="B43" s="12" t="s">
        <v>16</v>
      </c>
      <c r="C43" s="13" t="s">
        <v>17</v>
      </c>
      <c r="D43" s="14" t="n">
        <v>8500</v>
      </c>
      <c r="E43" s="12" t="s">
        <v>10</v>
      </c>
      <c r="F43" s="13"/>
    </row>
    <row r="44" customFormat="false" ht="18" hidden="false" customHeight="true" outlineLevel="0" collapsed="false">
      <c r="A44" s="23" t="s">
        <v>85</v>
      </c>
      <c r="B44" s="24" t="s">
        <v>34</v>
      </c>
      <c r="C44" s="25" t="s">
        <v>86</v>
      </c>
      <c r="D44" s="26" t="n">
        <v>72000</v>
      </c>
      <c r="E44" s="24" t="s">
        <v>10</v>
      </c>
      <c r="F44" s="25" t="s">
        <v>87</v>
      </c>
    </row>
    <row r="45" customFormat="false" ht="18" hidden="false" customHeight="true" outlineLevel="0" collapsed="false">
      <c r="A45" s="3" t="s">
        <v>88</v>
      </c>
      <c r="B45" s="4" t="s">
        <v>8</v>
      </c>
      <c r="C45" s="5" t="s">
        <v>9</v>
      </c>
      <c r="D45" s="6" t="n">
        <v>55000</v>
      </c>
      <c r="E45" s="4" t="s">
        <v>10</v>
      </c>
      <c r="F45" s="5"/>
    </row>
    <row r="46" customFormat="false" ht="18" hidden="false" customHeight="true" outlineLevel="0" collapsed="false">
      <c r="A46" s="3" t="s">
        <v>88</v>
      </c>
      <c r="B46" s="4" t="s">
        <v>8</v>
      </c>
      <c r="C46" s="5" t="s">
        <v>89</v>
      </c>
      <c r="D46" s="6" t="n">
        <v>16500</v>
      </c>
      <c r="E46" s="4" t="s">
        <v>10</v>
      </c>
      <c r="F46" s="5"/>
    </row>
    <row r="47" customFormat="false" ht="18" hidden="false" customHeight="true" outlineLevel="0" collapsed="false">
      <c r="A47" s="11" t="s">
        <v>90</v>
      </c>
      <c r="B47" s="12" t="s">
        <v>16</v>
      </c>
      <c r="C47" s="13" t="s">
        <v>91</v>
      </c>
      <c r="D47" s="14" t="n">
        <v>7000</v>
      </c>
      <c r="E47" s="12" t="s">
        <v>10</v>
      </c>
      <c r="F47" s="13"/>
    </row>
    <row r="48" customFormat="false" ht="18" hidden="false" customHeight="true" outlineLevel="0" collapsed="false">
      <c r="A48" s="15" t="s">
        <v>90</v>
      </c>
      <c r="B48" s="16" t="s">
        <v>22</v>
      </c>
      <c r="C48" s="17" t="s">
        <v>68</v>
      </c>
      <c r="D48" s="18" t="n">
        <v>11000</v>
      </c>
      <c r="E48" s="16" t="s">
        <v>10</v>
      </c>
      <c r="F48" s="17" t="s">
        <v>92</v>
      </c>
    </row>
    <row r="49" customFormat="false" ht="18" hidden="false" customHeight="true" outlineLevel="0" collapsed="false">
      <c r="A49" s="23" t="s">
        <v>93</v>
      </c>
      <c r="B49" s="24" t="s">
        <v>34</v>
      </c>
      <c r="C49" s="25" t="s">
        <v>94</v>
      </c>
      <c r="D49" s="26" t="n">
        <v>36000</v>
      </c>
      <c r="E49" s="24" t="s">
        <v>10</v>
      </c>
      <c r="F49" s="25"/>
    </row>
    <row r="50" customFormat="false" ht="18" hidden="false" customHeight="true" outlineLevel="0" collapsed="false">
      <c r="A50" s="27" t="s">
        <v>93</v>
      </c>
      <c r="B50" s="28" t="s">
        <v>51</v>
      </c>
      <c r="C50" s="29" t="s">
        <v>95</v>
      </c>
      <c r="D50" s="30" t="n">
        <v>8500</v>
      </c>
      <c r="E50" s="28" t="s">
        <v>53</v>
      </c>
      <c r="F50" s="29" t="s">
        <v>96</v>
      </c>
    </row>
    <row r="51" customFormat="false" ht="18" hidden="false" customHeight="true" outlineLevel="0" collapsed="false">
      <c r="A51" s="3" t="s">
        <v>97</v>
      </c>
      <c r="B51" s="4" t="s">
        <v>8</v>
      </c>
      <c r="C51" s="5" t="s">
        <v>9</v>
      </c>
      <c r="D51" s="6" t="n">
        <v>48000</v>
      </c>
      <c r="E51" s="4" t="s">
        <v>10</v>
      </c>
      <c r="F51" s="5" t="s">
        <v>98</v>
      </c>
    </row>
    <row r="52" customFormat="false" ht="18" hidden="false" customHeight="true" outlineLevel="0" collapsed="false">
      <c r="A52" s="11" t="s">
        <v>97</v>
      </c>
      <c r="B52" s="12" t="s">
        <v>16</v>
      </c>
      <c r="C52" s="13" t="s">
        <v>17</v>
      </c>
      <c r="D52" s="14" t="n">
        <v>9000</v>
      </c>
      <c r="E52" s="12" t="s">
        <v>10</v>
      </c>
      <c r="F52" s="13"/>
    </row>
    <row r="53" customFormat="false" ht="18" hidden="false" customHeight="true" outlineLevel="0" collapsed="false">
      <c r="A53" s="15" t="s">
        <v>97</v>
      </c>
      <c r="B53" s="16" t="s">
        <v>22</v>
      </c>
      <c r="C53" s="17" t="s">
        <v>23</v>
      </c>
      <c r="D53" s="18" t="n">
        <v>3200</v>
      </c>
      <c r="E53" s="16" t="s">
        <v>24</v>
      </c>
      <c r="F53" s="32"/>
    </row>
    <row r="54" customFormat="false" ht="21.75" hidden="false" customHeight="true" outlineLevel="0" collapsed="false">
      <c r="A54" s="33" t="s">
        <v>99</v>
      </c>
      <c r="B54" s="33"/>
      <c r="C54" s="33"/>
      <c r="D54" s="34" t="n">
        <f aca="false">SUM(D4:D53)</f>
        <v>1349100</v>
      </c>
      <c r="E54" s="35"/>
      <c r="F54" s="35"/>
    </row>
  </sheetData>
  <mergeCells count="2">
    <mergeCell ref="A1:F1"/>
    <mergeCell ref="A54: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27.75" hidden="false" customHeight="true" outlineLevel="0" collapsed="false">
      <c r="A1" s="36" t="s">
        <v>100</v>
      </c>
      <c r="B1" s="36"/>
      <c r="C1" s="36"/>
    </row>
    <row r="3" customFormat="false" ht="15" hidden="false" customHeight="false" outlineLevel="0" collapsed="false">
      <c r="A3" s="2" t="s">
        <v>2</v>
      </c>
      <c r="B3" s="2" t="s">
        <v>101</v>
      </c>
      <c r="C3" s="2" t="s">
        <v>102</v>
      </c>
    </row>
    <row r="4" customFormat="false" ht="18" hidden="false" customHeight="true" outlineLevel="0" collapsed="false">
      <c r="A4" s="17" t="s">
        <v>103</v>
      </c>
      <c r="B4" s="18" t="n">
        <v>423800</v>
      </c>
      <c r="C4" s="37" t="n">
        <v>31.4</v>
      </c>
    </row>
    <row r="5" customFormat="false" ht="18" hidden="false" customHeight="true" outlineLevel="0" collapsed="false">
      <c r="A5" s="38" t="s">
        <v>104</v>
      </c>
      <c r="B5" s="39" t="n">
        <v>235500</v>
      </c>
      <c r="C5" s="40" t="n">
        <v>17.5</v>
      </c>
    </row>
    <row r="6" customFormat="false" ht="18" hidden="false" customHeight="true" outlineLevel="0" collapsed="false">
      <c r="A6" s="17" t="s">
        <v>16</v>
      </c>
      <c r="B6" s="18" t="n">
        <v>93000</v>
      </c>
      <c r="C6" s="37" t="n">
        <v>6.9</v>
      </c>
    </row>
    <row r="7" customFormat="false" ht="18" hidden="false" customHeight="true" outlineLevel="0" collapsed="false">
      <c r="A7" s="38" t="s">
        <v>12</v>
      </c>
      <c r="B7" s="39" t="n">
        <v>83700</v>
      </c>
      <c r="C7" s="40" t="n">
        <v>6.2</v>
      </c>
    </row>
    <row r="8" customFormat="false" ht="18" hidden="false" customHeight="true" outlineLevel="0" collapsed="false">
      <c r="A8" s="17" t="s">
        <v>105</v>
      </c>
      <c r="B8" s="18" t="n">
        <v>57400</v>
      </c>
      <c r="C8" s="37" t="n">
        <v>4.3</v>
      </c>
    </row>
    <row r="9" customFormat="false" ht="18" hidden="false" customHeight="true" outlineLevel="0" collapsed="false">
      <c r="A9" s="38" t="s">
        <v>22</v>
      </c>
      <c r="B9" s="39" t="n">
        <v>139200</v>
      </c>
      <c r="C9" s="40" t="n">
        <v>10.3</v>
      </c>
    </row>
    <row r="10" customFormat="false" ht="18" hidden="false" customHeight="true" outlineLevel="0" collapsed="false">
      <c r="A10" s="17" t="s">
        <v>34</v>
      </c>
      <c r="B10" s="18" t="n">
        <v>303000</v>
      </c>
      <c r="C10" s="37" t="n">
        <v>22.5</v>
      </c>
    </row>
    <row r="11" customFormat="false" ht="18" hidden="false" customHeight="true" outlineLevel="0" collapsed="false">
      <c r="A11" s="38" t="s">
        <v>51</v>
      </c>
      <c r="B11" s="39" t="n">
        <v>13500</v>
      </c>
      <c r="C11" s="40" t="n">
        <v>1</v>
      </c>
    </row>
    <row r="12" customFormat="false" ht="21.75" hidden="false" customHeight="true" outlineLevel="0" collapsed="false">
      <c r="A12" s="41" t="s">
        <v>99</v>
      </c>
      <c r="B12" s="34" t="n">
        <v>1349100</v>
      </c>
      <c r="C12" s="42" t="n">
        <v>100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2026-05-18T10:13:12Z</dcterms:created>
  <dc:creator>openpyxl</dc:creator>
  <dc:description/>
  <dc:language>en-US</dc:language>
  <cp:lastModifiedBy/>
  <dcterms:modified xsi:type="dcterms:W3CDTF">2026-05-18T10:13:12Z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